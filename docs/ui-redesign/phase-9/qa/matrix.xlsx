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efbcb909e4e9d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Ma trận" sheetId="1" ns1:id="R6058dc524ee64e45"/>
    <sheet name="Đối chiếu câu" sheetId="2" ns1:id="R14d5a4ceffa04091"/>
  </sheets>
  <definedNames>
    <definedName name="_xlnm.Print_Area" localSheetId="0">'Ma trận'!$A$1:$S$17</definedName>
    <definedName name="_xlnm.Print_Titles" localSheetId="0">'Ma trận'!$1:$9</definedName>
    <definedName name="_xlnm.Print_Area" localSheetId="1">'Đối chiếu câu'!$A$1:$L$10</definedName>
    <definedName name="_xlnm.Print_Titles" localSheetId="1">'Đối chiếu câu'!$1:$6</definedName>
  </definedNames>
  <calcPr calcId="191029" fullCalcOnLoad="1"/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;-0;&quot;&quot;"/>
    <x:numFmt numFmtId="201" formatCode="0.0"/>
    <x:numFmt numFmtId="202" formatCode="0.00"/>
    <x:numFmt numFmtId="203" formatCode="0.0000"/>
  </x:numFmts>
  <x:fonts count="5">
    <x:font>
      <x:sz val="11"/>
      <x:name val="Carlito"/>
    </x:font>
    <x:font>
      <x:sz val="12"/>
      <x:color rgb="FF000000"/>
      <x:name val="Times New Roman"/>
    </x:font>
    <x:font>
      <x:b/>
      <x:sz val="16"/>
      <x:color rgb="FF000000"/>
      <x:name val="Times New Roman"/>
    </x:font>
    <x:font>
      <x:sz val="11"/>
      <x:color rgb="FF000000"/>
      <x:name val="Times New Roman"/>
    </x:font>
    <x:font>
      <x:b/>
      <x:sz val="12"/>
      <x:color rgb="FF000000"/>
      <x:name val="Times New Roman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444444"/>
      </x:left>
      <x:right style="thin">
        <x:color rgb="FF444444"/>
      </x:right>
      <x:top style="thin">
        <x:color rgb="FF444444"/>
      </x:top>
      <x:bottom style="thin">
        <x:color rgb="FF444444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center" vertical="center" wrapText="1"/>
    </x:xf>
    <x:xf numFmtId="202" fontId="4" fillId="0" borderId="1" xfId="0" applyNumberFormat="1" applyFont="1" applyFill="1" applyBorder="1" applyAlignment="1">
      <x:alignment horizontal="center" vertical="center" wrapText="1"/>
    </x:xf>
    <x:xf numFmtId="201" fontId="4" fillId="0" borderId="1" xfId="0" applyNumberFormat="1" applyFont="1" applyFill="1" applyBorder="1" applyAlignment="1">
      <x:alignment horizontal="center" vertical="center" wrapText="1"/>
    </x:xf>
    <x:xf numFmtId="203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432833fc864686" /><Relationship Type="http://schemas.openxmlformats.org/officeDocument/2006/relationships/theme" Target="/xl/theme/theme1.xml" Id="R9a32d92ed76047ce" /><Relationship Type="http://schemas.openxmlformats.org/officeDocument/2006/relationships/sharedStrings" Target="/xl/sharedStrings.xml" Id="R08ccb1df187f46cc" /><Relationship Type="http://schemas.openxmlformats.org/officeDocument/2006/relationships/worksheet" Target="/xl/worksheets/sheet1.xml" Id="R6058dc524ee64e45" /><Relationship Type="http://schemas.openxmlformats.org/officeDocument/2006/relationships/worksheet" Target="/xl/worksheets/sheet2.xml" Id="R14d5a4ceffa040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9" topLeftCell="A10" activePane="bottomLeft" state="frozen"/>
    </sheetView>
  </sheetViews>
  <cols>
    <col min="1" max="1" width="5" customWidth="1"/>
    <col min="2" max="2" width="23" customWidth="1"/>
    <col min="3" max="3" width="30" customWidth="1"/>
    <col min="4" max="4" width="7" customWidth="1"/>
    <col min="5" max="5" width="7" customWidth="1"/>
    <col min="6" max="6" width="7" customWidth="1"/>
    <col min="7" max="7" width="7" customWidth="1"/>
    <col min="8" max="8" width="7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  <col min="14" max="14" width="7" customWidth="1"/>
    <col min="15" max="15" width="7" customWidth="1"/>
    <col min="16" max="16" width="7" customWidth="1"/>
    <col min="17" max="17" width="7" customWidth="1"/>
    <col min="18" max="18" width="7" customWidth="1"/>
    <col min="19" max="19" width="9" customWidth="1"/>
  </cols>
  <sheetData>
    <row r="2" ht="32" customHeight="1">
      <c r="A2" s="5" t="inlineStr">
        <is>
          <t xml:space="preserve">MA TRẬN ĐỀ KIỂM TRA ĐỊNH KÌ</t>
        </is>
      </c>
    </row>
    <row r="3" ht="32" customHeight="1">
      <c r="A3" s="6" t="inlineStr">
        <is>
          <t xml:space="preserve">Đề kiểm tra · Bản nháp nghiệm thu giao diện · Toán 9 · Lớp 9A · 45 phút · 3 câu · 10 điểm</t>
        </is>
      </c>
    </row>
    <row r="4" ht="32" customHeight="1">
      <c r="A4" s="6" t="inlineStr">
        <is>
          <t xml:space="preserve">Bố cục Phụ lục Công văn 7991/BGDĐT-GDTrH (17/12/2024). 3 câu cần bổ sung nhãn.</t>
        </is>
      </c>
    </row>
    <row r="5" ht="32" customHeight="1">
      <c r="A5" s="6" t="inlineStr">
        <is>
          <t xml:space="preserve">Chưa phân mức: 3 câu / 10.0000 điểm; chưa cộng vào các cột Biết–Hiểu–Vận dụng.</t>
        </is>
      </c>
    </row>
    <row r="6" ht="32" customHeight="1">
      <c r="A6" s="9" t="inlineStr">
        <is>
          <t xml:space="preserve">TT</t>
        </is>
      </c>
      <c r="B6" s="9" t="inlineStr">
        <is>
          <t xml:space="preserve">Chủ đề/Chương</t>
        </is>
      </c>
      <c r="C6" s="9" t="inlineStr">
        <is>
          <t xml:space="preserve">Nội dung/đơn vị kiến thức</t>
        </is>
      </c>
      <c r="D6" s="9" t="inlineStr">
        <is>
          <t xml:space="preserve">Mức độ đánh giá</t>
        </is>
      </c>
      <c r="E6" s="9" t="inlineStr">
        <is>
          <t xml:space="preserve"/>
        </is>
      </c>
      <c r="F6" s="9" t="inlineStr">
        <is>
          <t xml:space="preserve"/>
        </is>
      </c>
      <c r="G6" s="9" t="inlineStr">
        <is>
          <t xml:space="preserve"/>
        </is>
      </c>
      <c r="H6" s="9" t="inlineStr">
        <is>
          <t xml:space="preserve"/>
        </is>
      </c>
      <c r="I6" s="9" t="inlineStr">
        <is>
          <t xml:space="preserve"/>
        </is>
      </c>
      <c r="J6" s="9" t="inlineStr">
        <is>
          <t xml:space="preserve"/>
        </is>
      </c>
      <c r="K6" s="9" t="inlineStr">
        <is>
          <t xml:space="preserve"/>
        </is>
      </c>
      <c r="L6" s="9" t="inlineStr">
        <is>
          <t xml:space="preserve"/>
        </is>
      </c>
      <c r="M6" s="9" t="inlineStr">
        <is>
          <t xml:space="preserve"/>
        </is>
      </c>
      <c r="N6" s="9" t="inlineStr">
        <is>
          <t xml:space="preserve"/>
        </is>
      </c>
      <c r="O6" s="9" t="inlineStr">
        <is>
          <t xml:space="preserve"/>
        </is>
      </c>
      <c r="P6" s="9" t="inlineStr">
        <is>
          <t xml:space="preserve">Tổng</t>
        </is>
      </c>
      <c r="Q6" s="9" t="inlineStr">
        <is>
          <t xml:space="preserve"/>
        </is>
      </c>
      <c r="R6" s="9" t="inlineStr">
        <is>
          <t xml:space="preserve"/>
        </is>
      </c>
      <c r="S6" s="9" t="inlineStr">
        <is>
          <t xml:space="preserve">Tỉ lệ % điểm</t>
        </is>
      </c>
    </row>
    <row r="7" ht="26" customHeight="1">
      <c r="A7" s="9" t="inlineStr">
        <is>
          <t xml:space="preserve"/>
        </is>
      </c>
      <c r="B7" s="9" t="inlineStr">
        <is>
          <t xml:space="preserve"/>
        </is>
      </c>
      <c r="C7" s="9" t="inlineStr">
        <is>
          <t xml:space="preserve"/>
        </is>
      </c>
      <c r="D7" s="9" t="inlineStr">
        <is>
          <t xml:space="preserve">TNKQ</t>
        </is>
      </c>
      <c r="E7" s="9" t="inlineStr">
        <is>
          <t xml:space="preserve"/>
        </is>
      </c>
      <c r="F7" s="9" t="inlineStr">
        <is>
          <t xml:space="preserve"/>
        </is>
      </c>
      <c r="G7" s="9" t="inlineStr">
        <is>
          <t xml:space="preserve"/>
        </is>
      </c>
      <c r="H7" s="9" t="inlineStr">
        <is>
          <t xml:space="preserve"/>
        </is>
      </c>
      <c r="I7" s="9" t="inlineStr">
        <is>
          <t xml:space="preserve"/>
        </is>
      </c>
      <c r="J7" s="9" t="inlineStr">
        <is>
          <t xml:space="preserve"/>
        </is>
      </c>
      <c r="K7" s="9" t="inlineStr">
        <is>
          <t xml:space="preserve"/>
        </is>
      </c>
      <c r="L7" s="9" t="inlineStr">
        <is>
          <t xml:space="preserve"/>
        </is>
      </c>
      <c r="M7" s="9" t="inlineStr">
        <is>
          <t xml:space="preserve">Tự luận</t>
        </is>
      </c>
      <c r="N7" s="9" t="inlineStr">
        <is>
          <t xml:space="preserve"/>
        </is>
      </c>
      <c r="O7" s="9" t="inlineStr">
        <is>
          <t xml:space="preserve"/>
        </is>
      </c>
      <c r="P7" s="9" t="inlineStr">
        <is>
          <t xml:space="preserve"/>
        </is>
      </c>
      <c r="Q7" s="9" t="inlineStr">
        <is>
          <t xml:space="preserve"/>
        </is>
      </c>
      <c r="R7" s="9" t="inlineStr">
        <is>
          <t xml:space="preserve"/>
        </is>
      </c>
      <c r="S7" s="9" t="inlineStr">
        <is>
          <t xml:space="preserve"/>
        </is>
      </c>
    </row>
    <row r="8" ht="28" customHeight="1">
      <c r="A8" s="9" t="inlineStr">
        <is>
          <t xml:space="preserve"/>
        </is>
      </c>
      <c r="B8" s="9" t="inlineStr">
        <is>
          <t xml:space="preserve"/>
        </is>
      </c>
      <c r="C8" s="9" t="inlineStr">
        <is>
          <t xml:space="preserve"/>
        </is>
      </c>
      <c r="D8" s="9" t="inlineStr">
        <is>
          <t xml:space="preserve">Nhiều lựa chọn</t>
        </is>
      </c>
      <c r="E8" s="9" t="inlineStr">
        <is>
          <t xml:space="preserve"/>
        </is>
      </c>
      <c r="F8" s="9" t="inlineStr">
        <is>
          <t xml:space="preserve"/>
        </is>
      </c>
      <c r="G8" s="9" t="inlineStr">
        <is>
          <t xml:space="preserve">Đúng – Sai</t>
        </is>
      </c>
      <c r="H8" s="9" t="inlineStr">
        <is>
          <t xml:space="preserve"/>
        </is>
      </c>
      <c r="I8" s="9" t="inlineStr">
        <is>
          <t xml:space="preserve"/>
        </is>
      </c>
      <c r="J8" s="9" t="inlineStr">
        <is>
          <t xml:space="preserve">Trả lời ngắn</t>
        </is>
      </c>
      <c r="K8" s="9" t="inlineStr">
        <is>
          <t xml:space="preserve"/>
        </is>
      </c>
      <c r="L8" s="9" t="inlineStr">
        <is>
          <t xml:space="preserve"/>
        </is>
      </c>
      <c r="M8" s="9" t="inlineStr">
        <is>
          <t xml:space="preserve"/>
        </is>
      </c>
      <c r="N8" s="9" t="inlineStr">
        <is>
          <t xml:space="preserve"/>
        </is>
      </c>
      <c r="O8" s="9" t="inlineStr">
        <is>
          <t xml:space="preserve"/>
        </is>
      </c>
      <c r="P8" s="9" t="inlineStr">
        <is>
          <t xml:space="preserve"/>
        </is>
      </c>
      <c r="Q8" s="9" t="inlineStr">
        <is>
          <t xml:space="preserve"/>
        </is>
      </c>
      <c r="R8" s="9" t="inlineStr">
        <is>
          <t xml:space="preserve"/>
        </is>
      </c>
      <c r="S8" s="9" t="inlineStr">
        <is>
          <t xml:space="preserve"/>
        </is>
      </c>
    </row>
    <row r="9" ht="40" customHeight="1">
      <c r="A9" s="9" t="inlineStr">
        <is>
          <t xml:space="preserve"/>
        </is>
      </c>
      <c r="B9" s="9" t="inlineStr">
        <is>
          <t xml:space="preserve"/>
        </is>
      </c>
      <c r="C9" s="9" t="inlineStr">
        <is>
          <t xml:space="preserve"/>
        </is>
      </c>
      <c r="D9" s="9" t="inlineStr">
        <is>
          <t xml:space="preserve">Biết</t>
        </is>
      </c>
      <c r="E9" s="9" t="inlineStr">
        <is>
          <t xml:space="preserve">Hiểu</t>
        </is>
      </c>
      <c r="F9" s="9" t="inlineStr">
        <is>
          <t xml:space="preserve">Vận dụng</t>
        </is>
      </c>
      <c r="G9" s="9" t="inlineStr">
        <is>
          <t xml:space="preserve">Biết</t>
        </is>
      </c>
      <c r="H9" s="9" t="inlineStr">
        <is>
          <t xml:space="preserve">Hiểu</t>
        </is>
      </c>
      <c r="I9" s="9" t="inlineStr">
        <is>
          <t xml:space="preserve">Vận dụng</t>
        </is>
      </c>
      <c r="J9" s="9" t="inlineStr">
        <is>
          <t xml:space="preserve">Biết</t>
        </is>
      </c>
      <c r="K9" s="9" t="inlineStr">
        <is>
          <t xml:space="preserve">Hiểu</t>
        </is>
      </c>
      <c r="L9" s="9" t="inlineStr">
        <is>
          <t xml:space="preserve">Vận dụng</t>
        </is>
      </c>
      <c r="M9" s="9" t="inlineStr">
        <is>
          <t xml:space="preserve">Biết</t>
        </is>
      </c>
      <c r="N9" s="9" t="inlineStr">
        <is>
          <t xml:space="preserve">Hiểu</t>
        </is>
      </c>
      <c r="O9" s="9" t="inlineStr">
        <is>
          <t xml:space="preserve">Vận dụng</t>
        </is>
      </c>
      <c r="P9" s="9" t="inlineStr">
        <is>
          <t xml:space="preserve">Biết</t>
        </is>
      </c>
      <c r="Q9" s="9" t="inlineStr">
        <is>
          <t xml:space="preserve">Hiểu</t>
        </is>
      </c>
      <c r="R9" s="9" t="inlineStr">
        <is>
          <t xml:space="preserve">Vận dụng</t>
        </is>
      </c>
      <c r="S9" s="9" t="inlineStr">
        <is>
          <t xml:space="preserve"/>
        </is>
      </c>
    </row>
    <row r="10" ht="32" customHeight="1">
      <c r="A10" s="10">
        <v>1</v>
      </c>
      <c r="B10" s="11" t="inlineStr">
        <is>
          <t xml:space="preserve">Chưa xác nhận chủ đề/chương</t>
        </is>
      </c>
      <c r="C10" s="11" t="inlineStr">
        <is>
          <t xml:space="preserve">Chưa xác nhận kiến thức</t>
        </is>
      </c>
      <c r="D10" s="12">
        <f>COUNTIFS('Đối chiếu câu'!$B$7:$B$9,SUBSTITUTE(SUBSTITUTE(SUBSTITUTE(B10,"~","~~"),"*","~*"),"?","~?"),'Đối chiếu câu'!$C$7:$C$9,SUBSTITUTE(SUBSTITUTE(SUBSTITUTE(C10,"~","~~"),"*","~*"),"?","~?"),'Đối chiếu câu'!$E$7:$E$9,"Nhiều lựa chọn",'Đối chiếu câu'!$G$7:$G$9,"Biết")</f>
        <v>0</v>
      </c>
      <c r="E10" s="12">
        <f>COUNTIFS('Đối chiếu câu'!$B$7:$B$9,SUBSTITUTE(SUBSTITUTE(SUBSTITUTE(B10,"~","~~"),"*","~*"),"?","~?"),'Đối chiếu câu'!$C$7:$C$9,SUBSTITUTE(SUBSTITUTE(SUBSTITUTE(C10,"~","~~"),"*","~*"),"?","~?"),'Đối chiếu câu'!$E$7:$E$9,"Nhiều lựa chọn",'Đối chiếu câu'!$G$7:$G$9,"Hiểu")</f>
        <v>0</v>
      </c>
      <c r="F10" s="12">
        <f>COUNTIFS('Đối chiếu câu'!$B$7:$B$9,SUBSTITUTE(SUBSTITUTE(SUBSTITUTE(B10,"~","~~"),"*","~*"),"?","~?"),'Đối chiếu câu'!$C$7:$C$9,SUBSTITUTE(SUBSTITUTE(SUBSTITUTE(C10,"~","~~"),"*","~*"),"?","~?"),'Đối chiếu câu'!$E$7:$E$9,"Nhiều lựa chọn",'Đối chiếu câu'!$G$7:$G$9,"Vận dụng")</f>
        <v>0</v>
      </c>
      <c r="G10" s="12">
        <f>COUNTIFS('Đối chiếu câu'!$B$7:$B$9,SUBSTITUTE(SUBSTITUTE(SUBSTITUTE(B10,"~","~~"),"*","~*"),"?","~?"),'Đối chiếu câu'!$C$7:$C$9,SUBSTITUTE(SUBSTITUTE(SUBSTITUTE(C10,"~","~~"),"*","~*"),"?","~?"),'Đối chiếu câu'!$E$7:$E$9,"Đúng – Sai",'Đối chiếu câu'!$G$7:$G$9,"Biết")</f>
        <v>0</v>
      </c>
      <c r="H10" s="12">
        <f>COUNTIFS('Đối chiếu câu'!$B$7:$B$9,SUBSTITUTE(SUBSTITUTE(SUBSTITUTE(B10,"~","~~"),"*","~*"),"?","~?"),'Đối chiếu câu'!$C$7:$C$9,SUBSTITUTE(SUBSTITUTE(SUBSTITUTE(C10,"~","~~"),"*","~*"),"?","~?"),'Đối chiếu câu'!$E$7:$E$9,"Đúng – Sai",'Đối chiếu câu'!$G$7:$G$9,"Hiểu")</f>
        <v>0</v>
      </c>
      <c r="I10" s="12">
        <f>COUNTIFS('Đối chiếu câu'!$B$7:$B$9,SUBSTITUTE(SUBSTITUTE(SUBSTITUTE(B10,"~","~~"),"*","~*"),"?","~?"),'Đối chiếu câu'!$C$7:$C$9,SUBSTITUTE(SUBSTITUTE(SUBSTITUTE(C10,"~","~~"),"*","~*"),"?","~?"),'Đối chiếu câu'!$E$7:$E$9,"Đúng – Sai",'Đối chiếu câu'!$G$7:$G$9,"Vận dụng")</f>
        <v>0</v>
      </c>
      <c r="J10" s="12">
        <f>COUNTIFS('Đối chiếu câu'!$B$7:$B$9,SUBSTITUTE(SUBSTITUTE(SUBSTITUTE(B10,"~","~~"),"*","~*"),"?","~?"),'Đối chiếu câu'!$C$7:$C$9,SUBSTITUTE(SUBSTITUTE(SUBSTITUTE(C10,"~","~~"),"*","~*"),"?","~?"),'Đối chiếu câu'!$E$7:$E$9,"Trả lời ngắn",'Đối chiếu câu'!$G$7:$G$9,"Biết")</f>
        <v>0</v>
      </c>
      <c r="K10" s="12">
        <f>COUNTIFS('Đối chiếu câu'!$B$7:$B$9,SUBSTITUTE(SUBSTITUTE(SUBSTITUTE(B10,"~","~~"),"*","~*"),"?","~?"),'Đối chiếu câu'!$C$7:$C$9,SUBSTITUTE(SUBSTITUTE(SUBSTITUTE(C10,"~","~~"),"*","~*"),"?","~?"),'Đối chiếu câu'!$E$7:$E$9,"Trả lời ngắn",'Đối chiếu câu'!$G$7:$G$9,"Hiểu")</f>
        <v>0</v>
      </c>
      <c r="L10" s="12">
        <f>COUNTIFS('Đối chiếu câu'!$B$7:$B$9,SUBSTITUTE(SUBSTITUTE(SUBSTITUTE(B10,"~","~~"),"*","~*"),"?","~?"),'Đối chiếu câu'!$C$7:$C$9,SUBSTITUTE(SUBSTITUTE(SUBSTITUTE(C10,"~","~~"),"*","~*"),"?","~?"),'Đối chiếu câu'!$E$7:$E$9,"Trả lời ngắn",'Đối chiếu câu'!$G$7:$G$9,"Vận dụng")</f>
        <v>0</v>
      </c>
      <c r="M10" s="12">
        <f>COUNTIFS('Đối chiếu câu'!$B$7:$B$9,SUBSTITUTE(SUBSTITUTE(SUBSTITUTE(B10,"~","~~"),"*","~*"),"?","~?"),'Đối chiếu câu'!$C$7:$C$9,SUBSTITUTE(SUBSTITUTE(SUBSTITUTE(C10,"~","~~"),"*","~*"),"?","~?"),'Đối chiếu câu'!$E$7:$E$9,"Tự luận",'Đối chiếu câu'!$G$7:$G$9,"Biết")</f>
        <v>0</v>
      </c>
      <c r="N10" s="12">
        <f>COUNTIFS('Đối chiếu câu'!$B$7:$B$9,SUBSTITUTE(SUBSTITUTE(SUBSTITUTE(B10,"~","~~"),"*","~*"),"?","~?"),'Đối chiếu câu'!$C$7:$C$9,SUBSTITUTE(SUBSTITUTE(SUBSTITUTE(C10,"~","~~"),"*","~*"),"?","~?"),'Đối chiếu câu'!$E$7:$E$9,"Tự luận",'Đối chiếu câu'!$G$7:$G$9,"Hiểu")</f>
        <v>0</v>
      </c>
      <c r="O10" s="12">
        <f>COUNTIFS('Đối chiếu câu'!$B$7:$B$9,SUBSTITUTE(SUBSTITUTE(SUBSTITUTE(B10,"~","~~"),"*","~*"),"?","~?"),'Đối chiếu câu'!$C$7:$C$9,SUBSTITUTE(SUBSTITUTE(SUBSTITUTE(C10,"~","~~"),"*","~*"),"?","~?"),'Đối chiếu câu'!$E$7:$E$9,"Tự luận",'Đối chiếu câu'!$G$7:$G$9,"Vận dụng")</f>
        <v>0</v>
      </c>
      <c r="P10" s="12">
        <f>SUM(D10,G10,J10,M10)</f>
        <v>0</v>
      </c>
      <c r="Q10" s="12">
        <f>SUM(E10,H10,K10,N10)</f>
        <v>0</v>
      </c>
      <c r="R10" s="12">
        <f>SUM(F10,I10,L10,O10)</f>
        <v>0</v>
      </c>
      <c r="S10" s="13">
        <f>SUMIFS('Đối chiếu câu'!$I$7:$I$9,'Đối chiếu câu'!$B$7:$B$9,SUBSTITUTE(SUBSTITUTE(SUBSTITUTE(B10,"~","~~"),"*","~*"),"?","~?"),'Đối chiếu câu'!$C$7:$C$9,SUBSTITUTE(SUBSTITUTE(SUBSTITUTE(C10,"~","~~"),"*","~*"),"?","~?"))*10</f>
        <v>100.0</v>
      </c>
    </row>
    <row r="11" ht="30" customHeight="1">
      <c r="A11" s="9" t="inlineStr">
        <is>
          <t xml:space="preserve">Tổng số câu</t>
        </is>
      </c>
      <c r="B11" s="9" t="inlineStr">
        <is>
          <t xml:space="preserve"/>
        </is>
      </c>
      <c r="C11" s="9" t="inlineStr">
        <is>
          <t xml:space="preserve"/>
        </is>
      </c>
      <c r="D11" s="9">
        <f>SUM(D10:D10)</f>
        <v>0</v>
      </c>
      <c r="E11" s="9">
        <f>SUM(E10:E10)</f>
        <v>0</v>
      </c>
      <c r="F11" s="9">
        <f>SUM(F10:F10)</f>
        <v>0</v>
      </c>
      <c r="G11" s="9">
        <f>SUM(G10:G10)</f>
        <v>0</v>
      </c>
      <c r="H11" s="9">
        <f>SUM(H10:H10)</f>
        <v>0</v>
      </c>
      <c r="I11" s="9">
        <f>SUM(I10:I10)</f>
        <v>0</v>
      </c>
      <c r="J11" s="9">
        <f>SUM(J10:J10)</f>
        <v>0</v>
      </c>
      <c r="K11" s="9">
        <f>SUM(K10:K10)</f>
        <v>0</v>
      </c>
      <c r="L11" s="9">
        <f>SUM(L10:L10)</f>
        <v>0</v>
      </c>
      <c r="M11" s="9">
        <f>SUM(M10:M10)</f>
        <v>0</v>
      </c>
      <c r="N11" s="9">
        <f>SUM(N10:N10)</f>
        <v>0</v>
      </c>
      <c r="O11" s="9">
        <f>SUM(O10:O10)</f>
        <v>0</v>
      </c>
      <c r="P11" s="9">
        <f>SUM(P10:P10)</f>
        <v>0</v>
      </c>
      <c r="Q11" s="9">
        <f>SUM(Q10:Q10)</f>
        <v>0</v>
      </c>
      <c r="R11" s="9">
        <f>SUM(R10:R10)</f>
        <v>0</v>
      </c>
      <c r="S11" s="9" t="inlineStr">
        <is>
          <t xml:space="preserve"/>
        </is>
      </c>
    </row>
    <row r="12" ht="30" customHeight="1">
      <c r="A12" s="9" t="inlineStr">
        <is>
          <t xml:space="preserve">Tổng số điểm</t>
        </is>
      </c>
      <c r="B12" s="9" t="inlineStr">
        <is>
          <t xml:space="preserve"/>
        </is>
      </c>
      <c r="C12" s="9" t="inlineStr">
        <is>
          <t xml:space="preserve"/>
        </is>
      </c>
      <c r="D12" s="14">
        <f>SUMIFS('Đối chiếu câu'!$I$7:$I$9,'Đối chiếu câu'!$E$7:$E$9,"Nhiều lựa chọn")</f>
        <v>4.0</v>
      </c>
      <c r="E12" s="14" t="inlineStr">
        <is>
          <t xml:space="preserve"/>
        </is>
      </c>
      <c r="F12" s="14" t="inlineStr">
        <is>
          <t xml:space="preserve"/>
        </is>
      </c>
      <c r="G12" s="14">
        <f>SUMIFS('Đối chiếu câu'!$I$7:$I$9,'Đối chiếu câu'!$E$7:$E$9,"Đúng – Sai")</f>
        <v>4.0</v>
      </c>
      <c r="H12" s="14" t="inlineStr">
        <is>
          <t xml:space="preserve"/>
        </is>
      </c>
      <c r="I12" s="14" t="inlineStr">
        <is>
          <t xml:space="preserve"/>
        </is>
      </c>
      <c r="J12" s="14">
        <f>SUMIFS('Đối chiếu câu'!$I$7:$I$9,'Đối chiếu câu'!$E$7:$E$9,"Trả lời ngắn")</f>
        <v>2.0</v>
      </c>
      <c r="K12" s="14" t="inlineStr">
        <is>
          <t xml:space="preserve"/>
        </is>
      </c>
      <c r="L12" s="14" t="inlineStr">
        <is>
          <t xml:space="preserve"/>
        </is>
      </c>
      <c r="M12" s="14">
        <f>SUMIFS('Đối chiếu câu'!$I$7:$I$9,'Đối chiếu câu'!$E$7:$E$9,"Tự luận")</f>
        <v>0.0</v>
      </c>
      <c r="N12" s="14" t="inlineStr">
        <is>
          <t xml:space="preserve"/>
        </is>
      </c>
      <c r="O12" s="14" t="inlineStr">
        <is>
          <t xml:space="preserve"/>
        </is>
      </c>
      <c r="P12" s="14">
        <f>SUMIFS('Đối chiếu câu'!$I$7:$I$9,'Đối chiếu câu'!$G$7:$G$9,"Biết")</f>
        <v>0.0</v>
      </c>
      <c r="Q12" s="14">
        <f>SUMIFS('Đối chiếu câu'!$I$7:$I$9,'Đối chiếu câu'!$G$7:$G$9,"Hiểu")</f>
        <v>0.0</v>
      </c>
      <c r="R12" s="14">
        <f>SUMIFS('Đối chiếu câu'!$I$7:$I$9,'Đối chiếu câu'!$G$7:$G$9,"Vận dụng")</f>
        <v>0.0</v>
      </c>
      <c r="S12" s="14" t="inlineStr">
        <is>
          <t xml:space="preserve"/>
        </is>
      </c>
    </row>
    <row r="13" ht="30" customHeight="1">
      <c r="A13" s="9" t="inlineStr">
        <is>
          <t xml:space="preserve">Tỉ lệ %</t>
        </is>
      </c>
      <c r="B13" s="9" t="inlineStr">
        <is>
          <t xml:space="preserve"/>
        </is>
      </c>
      <c r="C13" s="9" t="inlineStr">
        <is>
          <t xml:space="preserve"/>
        </is>
      </c>
      <c r="D13" s="15">
        <f>SUMIFS('Đối chiếu câu'!$I$7:$I$9,'Đối chiếu câu'!$E$7:$E$9,"Nhiều lựa chọn")*10</f>
        <v>40.0</v>
      </c>
      <c r="E13" s="15" t="inlineStr">
        <is>
          <t xml:space="preserve"/>
        </is>
      </c>
      <c r="F13" s="15" t="inlineStr">
        <is>
          <t xml:space="preserve"/>
        </is>
      </c>
      <c r="G13" s="15">
        <f>SUMIFS('Đối chiếu câu'!$I$7:$I$9,'Đối chiếu câu'!$E$7:$E$9,"Đúng – Sai")*10</f>
        <v>40.0</v>
      </c>
      <c r="H13" s="15" t="inlineStr">
        <is>
          <t xml:space="preserve"/>
        </is>
      </c>
      <c r="I13" s="15" t="inlineStr">
        <is>
          <t xml:space="preserve"/>
        </is>
      </c>
      <c r="J13" s="15">
        <f>SUMIFS('Đối chiếu câu'!$I$7:$I$9,'Đối chiếu câu'!$E$7:$E$9,"Trả lời ngắn")*10</f>
        <v>20.0</v>
      </c>
      <c r="K13" s="15" t="inlineStr">
        <is>
          <t xml:space="preserve"/>
        </is>
      </c>
      <c r="L13" s="15" t="inlineStr">
        <is>
          <t xml:space="preserve"/>
        </is>
      </c>
      <c r="M13" s="15">
        <f>SUMIFS('Đối chiếu câu'!$I$7:$I$9,'Đối chiếu câu'!$E$7:$E$9,"Tự luận")*10</f>
        <v>0.0</v>
      </c>
      <c r="N13" s="15" t="inlineStr">
        <is>
          <t xml:space="preserve"/>
        </is>
      </c>
      <c r="O13" s="15" t="inlineStr">
        <is>
          <t xml:space="preserve"/>
        </is>
      </c>
      <c r="P13" s="15">
        <f>SUMIFS('Đối chiếu câu'!$I$7:$I$9,'Đối chiếu câu'!$G$7:$G$9,"Biết")*10</f>
        <v>0.0</v>
      </c>
      <c r="Q13" s="15">
        <f>SUMIFS('Đối chiếu câu'!$I$7:$I$9,'Đối chiếu câu'!$G$7:$G$9,"Hiểu")*10</f>
        <v>0.0</v>
      </c>
      <c r="R13" s="15">
        <f>SUMIFS('Đối chiếu câu'!$I$7:$I$9,'Đối chiếu câu'!$G$7:$G$9,"Vận dụng")*10</f>
        <v>0.0</v>
      </c>
      <c r="S13" s="15" t="inlineStr">
        <is>
          <t xml:space="preserve"/>
        </is>
      </c>
    </row>
    <row r="15" ht="32" customHeight="1">
      <c r="A15" s="6" t="inlineStr">
        <is>
          <t xml:space="preserve">Quy ước xuất: Nhận biết → Biết; Thông hiểu → Hiểu; Vận dụng cao gộp vào Vận dụng. Nhãn gốc giữ ở Đối chiếu câu.</t>
        </is>
      </c>
    </row>
    <row r="16" ht="32" customHeight="1">
      <c r="A16" s="6" t="inlineStr">
        <is>
          <t xml:space="preserve">Đúng – Sai đếm theo câu; số ý ghi riêng. Cột Tự luận giữ theo mẫu; đề không có tự luận thì để trống số câu.</t>
        </is>
      </c>
    </row>
    <row r="17" ht="32" customHeight="1">
      <c r="A17" s="6" t="inlineStr">
        <is>
          <t xml:space="preserve">Tổng điểm các hình thức = 10. Tỉ lệ theo điểm thực tế của đề, không áp đặt các tỉ lệ minh họa trong phụ lục.</t>
        </is>
      </c>
    </row>
  </sheetData>
  <mergeCells count="29">
    <mergeCell ref="A2:S2"/>
    <mergeCell ref="A3:S3"/>
    <mergeCell ref="A4:S4"/>
    <mergeCell ref="A5:S5"/>
    <mergeCell ref="A6:A9"/>
    <mergeCell ref="B6:B9"/>
    <mergeCell ref="C6:C9"/>
    <mergeCell ref="D6:O6"/>
    <mergeCell ref="D7:L7"/>
    <mergeCell ref="M7:O8"/>
    <mergeCell ref="D8:F8"/>
    <mergeCell ref="G8:I8"/>
    <mergeCell ref="J8:L8"/>
    <mergeCell ref="P6:R8"/>
    <mergeCell ref="S6:S9"/>
    <mergeCell ref="D12:F12"/>
    <mergeCell ref="G12:I12"/>
    <mergeCell ref="J12:L12"/>
    <mergeCell ref="M12:O12"/>
    <mergeCell ref="D13:F13"/>
    <mergeCell ref="G13:I13"/>
    <mergeCell ref="J13:L13"/>
    <mergeCell ref="M13:O13"/>
    <mergeCell ref="A11:C11"/>
    <mergeCell ref="A12:C12"/>
    <mergeCell ref="A13:C13"/>
    <mergeCell ref="A15:S15"/>
    <mergeCell ref="A16:S16"/>
    <mergeCell ref="A17:S17"/>
  </mergeCells>
  <pageMargins left="0.25" right="0.25" top="0.4" bottom="0.4" header="0.15" footer="0.15"/>
  <pageSetup paperSize="8" orientation="landscape" fitToWidth="1" fitToHeight="0"/>
  <headerFooter>
    <oddFooter>&amp;LMa trận đề kiểm tra&amp;RP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7" customWidth="1"/>
    <col min="2" max="2" width="28" customWidth="1"/>
    <col min="3" max="3" width="38" customWidth="1"/>
    <col min="4" max="4" width="20" customWidth="1"/>
    <col min="5" max="5" width="20" customWidth="1"/>
    <col min="6" max="6" width="18" customWidth="1"/>
    <col min="7" max="7" width="18" customWidth="1"/>
    <col min="8" max="8" width="12" customWidth="1"/>
    <col min="9" max="9" width="12" customWidth="1"/>
    <col min="10" max="10" width="10" customWidth="1"/>
    <col min="11" max="11" width="22" customWidth="1"/>
    <col min="12" max="12" width="32" customWidth="1"/>
  </cols>
  <sheetData>
    <row r="2" ht="32" customHeight="1">
      <c r="A2" s="5" t="inlineStr">
        <is>
          <t xml:space="preserve">ĐỐI CHIẾU CÂU HỎI</t>
        </is>
      </c>
    </row>
    <row r="3" ht="32" customHeight="1">
      <c r="A3" s="6" t="inlineStr">
        <is>
          <t xml:space="preserve">Đề kiểm tra · Bản nháp nghiệm thu giao diện · Toán 9 · Lớp 9A · 45 phút · 3 câu · 10 điểm</t>
        </is>
      </c>
    </row>
    <row r="4" ht="32" customHeight="1">
      <c r="A4" s="6" t="inlineStr">
        <is>
          <t xml:space="preserve">Bố cục Phụ lục Công văn 7991/BGDĐT-GDTrH (17/12/2024). 3 câu cần bổ sung nhãn.</t>
        </is>
      </c>
    </row>
    <row r="5" ht="32" customHeight="1">
      <c r="A5" s="6" t="inlineStr">
        <is>
          <t xml:space="preserve">Chưa phân mức: 3 câu / 10.0000 điểm; chưa cộng vào các cột Biết–Hiểu–Vận dụng.</t>
        </is>
      </c>
    </row>
    <row r="6" ht="46" customHeight="1">
      <c r="A6" s="9" t="inlineStr">
        <is>
          <t xml:space="preserve">Câu</t>
        </is>
      </c>
      <c r="B6" s="9" t="inlineStr">
        <is>
          <t xml:space="preserve">Chủ đề/Chương</t>
        </is>
      </c>
      <c r="C6" s="9" t="inlineStr">
        <is>
          <t xml:space="preserve">Nội dung/đơn vị kiến thức</t>
        </is>
      </c>
      <c r="D6" s="9" t="inlineStr">
        <is>
          <t xml:space="preserve">Mã kiến thức</t>
        </is>
      </c>
      <c r="E6" s="9" t="inlineStr">
        <is>
          <t xml:space="preserve">Hình thức</t>
        </is>
      </c>
      <c r="F6" s="9" t="inlineStr">
        <is>
          <t xml:space="preserve">Mức gốc</t>
        </is>
      </c>
      <c r="G6" s="9" t="inlineStr">
        <is>
          <t xml:space="preserve">Mức xuất</t>
        </is>
      </c>
      <c r="H6" s="9" t="inlineStr">
        <is>
          <t xml:space="preserve">Điểm gốc</t>
        </is>
      </c>
      <c r="I6" s="9" t="inlineStr">
        <is>
          <t xml:space="preserve">Điểm / 10</t>
        </is>
      </c>
      <c r="J6" s="9" t="inlineStr">
        <is>
          <t xml:space="preserve">Số ý Đ/S</t>
        </is>
      </c>
      <c r="K6" s="9" t="inlineStr">
        <is>
          <t xml:space="preserve">Tình trạng nhãn</t>
        </is>
      </c>
      <c r="L6" s="9" t="inlineStr">
        <is>
          <t xml:space="preserve">Ghi chú</t>
        </is>
      </c>
    </row>
    <row r="7" ht="32" customHeight="1">
      <c r="A7" s="7">
        <v>1</v>
      </c>
      <c r="B7" s="7" t="inlineStr">
        <is>
          <t xml:space="preserve">Chưa xác nhận chủ đề/chương</t>
        </is>
      </c>
      <c r="C7" s="7" t="inlineStr">
        <is>
          <t xml:space="preserve">Chưa xác nhận kiến thức</t>
        </is>
      </c>
      <c r="D7" s="7" t="inlineStr">
        <is>
          <t xml:space="preserve"/>
        </is>
      </c>
      <c r="E7" s="7" t="inlineStr">
        <is>
          <t xml:space="preserve">Nhiều lựa chọn</t>
        </is>
      </c>
      <c r="F7" s="7" t="inlineStr">
        <is>
          <t xml:space="preserve">Chưa xác nhận</t>
        </is>
      </c>
      <c r="G7" s="7" t="inlineStr">
        <is>
          <t xml:space="preserve">Chưa xác nhận</t>
        </is>
      </c>
      <c r="H7" s="16">
        <v>4.0</v>
      </c>
      <c r="I7" s="16">
        <v>4.0</v>
      </c>
      <c r="J7" s="7">
        <v>0</v>
      </c>
      <c r="K7" s="7" t="inlineStr">
        <is>
          <t xml:space="preserve">Cần bổ sung nhãn</t>
        </is>
      </c>
      <c r="L7" s="7" t="inlineStr">
        <is>
          <t xml:space="preserve"/>
        </is>
      </c>
    </row>
    <row r="8" ht="32" customHeight="1">
      <c r="A8" s="7">
        <v>2</v>
      </c>
      <c r="B8" s="7" t="inlineStr">
        <is>
          <t xml:space="preserve">Chưa xác nhận chủ đề/chương</t>
        </is>
      </c>
      <c r="C8" s="7" t="inlineStr">
        <is>
          <t xml:space="preserve">Chưa xác nhận kiến thức</t>
        </is>
      </c>
      <c r="D8" s="7" t="inlineStr">
        <is>
          <t xml:space="preserve"/>
        </is>
      </c>
      <c r="E8" s="7" t="inlineStr">
        <is>
          <t xml:space="preserve">Đúng – Sai</t>
        </is>
      </c>
      <c r="F8" s="7" t="inlineStr">
        <is>
          <t xml:space="preserve">Chưa xác nhận</t>
        </is>
      </c>
      <c r="G8" s="7" t="inlineStr">
        <is>
          <t xml:space="preserve">Chưa xác nhận</t>
        </is>
      </c>
      <c r="H8" s="16">
        <v>4.0</v>
      </c>
      <c r="I8" s="16">
        <v>4.0</v>
      </c>
      <c r="J8" s="7">
        <v>4</v>
      </c>
      <c r="K8" s="7" t="inlineStr">
        <is>
          <t xml:space="preserve">Cần bổ sung nhãn</t>
        </is>
      </c>
      <c r="L8" s="7" t="inlineStr">
        <is>
          <t xml:space="preserve"/>
        </is>
      </c>
    </row>
    <row r="9" ht="32" customHeight="1">
      <c r="A9" s="7">
        <v>3</v>
      </c>
      <c r="B9" s="7" t="inlineStr">
        <is>
          <t xml:space="preserve">Chưa xác nhận chủ đề/chương</t>
        </is>
      </c>
      <c r="C9" s="7" t="inlineStr">
        <is>
          <t xml:space="preserve">Chưa xác nhận kiến thức</t>
        </is>
      </c>
      <c r="D9" s="7" t="inlineStr">
        <is>
          <t xml:space="preserve"/>
        </is>
      </c>
      <c r="E9" s="7" t="inlineStr">
        <is>
          <t xml:space="preserve">Trả lời ngắn</t>
        </is>
      </c>
      <c r="F9" s="7" t="inlineStr">
        <is>
          <t xml:space="preserve">Chưa xác nhận</t>
        </is>
      </c>
      <c r="G9" s="7" t="inlineStr">
        <is>
          <t xml:space="preserve">Chưa xác nhận</t>
        </is>
      </c>
      <c r="H9" s="16">
        <v>2.0</v>
      </c>
      <c r="I9" s="16">
        <v>2.0</v>
      </c>
      <c r="J9" s="7">
        <v>0</v>
      </c>
      <c r="K9" s="7" t="inlineStr">
        <is>
          <t xml:space="preserve">Cần bổ sung nhãn</t>
        </is>
      </c>
      <c r="L9" s="7" t="inlineStr">
        <is>
          <t xml:space="preserve"/>
        </is>
      </c>
    </row>
    <row r="10" ht="32" customHeight="1">
      <c r="A10" s="7" t="inlineStr">
        <is>
          <t xml:space="preserve">Tổng</t>
        </is>
      </c>
      <c r="B10" s="7" t="inlineStr">
        <is>
          <t xml:space="preserve"/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16">
        <f>SUM(H7:H9)</f>
        <v>10.0</v>
      </c>
      <c r="I10" s="16">
        <f>SUM(I7:I9)</f>
        <v>10</v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</row>
  </sheetData>
  <autoFilter ref="A6:L9"/>
  <mergeCells count="4">
    <mergeCell ref="A2:L2"/>
    <mergeCell ref="A3:L3"/>
    <mergeCell ref="A4:L4"/>
    <mergeCell ref="A5:L5"/>
  </mergeCells>
  <pageMargins left="0.25" right="0.25" top="0.4" bottom="0.4" header="0.15" footer="0.15"/>
  <pageSetup paperSize="8" orientation="landscape" fitToWidth="1" fitToHeight="0"/>
  <headerFooter>
    <oddFooter>&amp;LMa trận đề kiểm tra&amp;RP &amp;P / &amp;N</oddFooter>
  </headerFooter>
</worksheet>
</file>